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Workspaces\Fortum_Sopimusrekisteri\Main\Source\slnSopimusrekisteri\appSopimusrekisteri\Dokumentit\IFRS\"/>
    </mc:Choice>
  </mc:AlternateContent>
  <xr:revisionPtr revIDLastSave="0" documentId="13_ncr:1_{ED3E6F1A-A1E7-4283-BDEA-838A25E32955}" xr6:coauthVersionLast="47" xr6:coauthVersionMax="47" xr10:uidLastSave="{00000000-0000-0000-0000-000000000000}"/>
  <bookViews>
    <workbookView xWindow="-120" yWindow="-120" windowWidth="29040" windowHeight="15840" xr2:uid="{EF3BE75E-067A-4DDB-A6A7-C552056B1A36}"/>
  </bookViews>
  <sheets>
    <sheet name="IFRS16 vuokrat" sheetId="1" r:id="rId1"/>
    <sheet name="Maturiteet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2" l="1"/>
  <c r="B17" i="2"/>
  <c r="B16" i="2"/>
  <c r="B15" i="2"/>
  <c r="B12" i="2"/>
  <c r="B11" i="2"/>
  <c r="B10" i="2"/>
  <c r="B9" i="2"/>
  <c r="B8" i="2"/>
  <c r="Q5" i="2"/>
  <c r="R5" i="2"/>
  <c r="S5" i="2"/>
  <c r="P5" i="2"/>
  <c r="I5" i="2"/>
  <c r="J5" i="2"/>
  <c r="K5" i="2"/>
  <c r="L5" i="2"/>
  <c r="M5" i="2"/>
  <c r="H5" i="2"/>
  <c r="S3" i="2"/>
  <c r="R3" i="2"/>
  <c r="Q3" i="2"/>
  <c r="J3" i="2"/>
  <c r="K3" i="2" s="1"/>
  <c r="L3" i="2" s="1"/>
  <c r="M3" i="2" s="1"/>
  <c r="I3" i="2"/>
  <c r="H3" i="2"/>
  <c r="B18" i="2" l="1"/>
  <c r="T9" i="1" l="1"/>
  <c r="U9" i="1"/>
  <c r="S9" i="1"/>
  <c r="U20" i="1" l="1"/>
  <c r="O8" i="1" l="1"/>
  <c r="U18" i="1" s="1"/>
  <c r="U19" i="1" s="1"/>
  <c r="O7" i="1"/>
  <c r="P3" i="1" l="1"/>
  <c r="Q3" i="1"/>
  <c r="Q8" i="1" l="1"/>
  <c r="Q7" i="1"/>
  <c r="P8" i="1"/>
  <c r="P7" i="1"/>
  <c r="R3" i="1"/>
  <c r="Q12" i="1" l="1"/>
  <c r="U12" i="1" s="1"/>
  <c r="Q13" i="1"/>
  <c r="U13" i="1" s="1"/>
  <c r="R7" i="1"/>
  <c r="R8" i="1"/>
  <c r="U21" i="1" s="1"/>
  <c r="U22" i="1" s="1"/>
  <c r="T3" i="1"/>
  <c r="S3" i="1"/>
  <c r="T8" i="1" l="1"/>
  <c r="U16" i="1" s="1"/>
  <c r="U17" i="1" s="1"/>
  <c r="U25" i="1" s="1"/>
  <c r="T7" i="1"/>
  <c r="S7" i="1"/>
  <c r="S8" i="1"/>
  <c r="U14" i="1" s="1"/>
  <c r="U3" i="1"/>
  <c r="U15" i="1" l="1"/>
  <c r="U26" i="1" s="1"/>
  <c r="U27" i="1"/>
  <c r="U8" i="1"/>
  <c r="U7" i="1"/>
</calcChain>
</file>

<file path=xl/sharedStrings.xml><?xml version="1.0" encoding="utf-8"?>
<sst xmlns="http://schemas.openxmlformats.org/spreadsheetml/2006/main" count="74" uniqueCount="55">
  <si>
    <t>Yhtiö</t>
  </si>
  <si>
    <t>Laskuttaja</t>
  </si>
  <si>
    <t>Sopimus no</t>
  </si>
  <si>
    <t>Vuokratyyppi</t>
  </si>
  <si>
    <t>Allekirjoituspäivä</t>
  </si>
  <si>
    <t>Päättymipäivä</t>
  </si>
  <si>
    <t>IFRS16</t>
  </si>
  <si>
    <t>Jäljellä olevat kaudet, vanha</t>
  </si>
  <si>
    <t>Jäljellä olevat kaudet, uusi</t>
  </si>
  <si>
    <t>Korko-%, vanha</t>
  </si>
  <si>
    <t>Korko-%, uusi</t>
  </si>
  <si>
    <t>Vuokra, vanha</t>
  </si>
  <si>
    <t>Vuokra, uusi</t>
  </si>
  <si>
    <t>Nykyarvo edellisen kauden korolla, vuokralla ja kaudella</t>
  </si>
  <si>
    <t>Nykyarvo, uusi</t>
  </si>
  <si>
    <t>Nykyarvon muutos</t>
  </si>
  <si>
    <t>Group korko</t>
  </si>
  <si>
    <t>Group poisto</t>
  </si>
  <si>
    <t>Right of use assets, kauden loppu</t>
  </si>
  <si>
    <t>Esimerkkirivi</t>
  </si>
  <si>
    <t>Yhteenvetotietoja</t>
  </si>
  <si>
    <t>YHTEENSÄ</t>
  </si>
  <si>
    <t>MUUTOS ED.KAUDESTA</t>
  </si>
  <si>
    <t>KAIKKI</t>
  </si>
  <si>
    <t>Right of use asset, debit</t>
  </si>
  <si>
    <t>Leasingvelka, credit</t>
  </si>
  <si>
    <t>Group korko, debit</t>
  </si>
  <si>
    <t>Group poisto, debit</t>
  </si>
  <si>
    <t>Right of use asset, credit</t>
  </si>
  <si>
    <t>Group vuokra, credit</t>
  </si>
  <si>
    <t>Leasingvelka, debit</t>
  </si>
  <si>
    <t>Retained earnings</t>
  </si>
  <si>
    <t>Tarkistus</t>
  </si>
  <si>
    <t>Right of use asset</t>
  </si>
  <si>
    <t>Leasingvelka</t>
  </si>
  <si>
    <t>Tulosvaikutus + retained</t>
  </si>
  <si>
    <t>Sopimusnumero</t>
  </si>
  <si>
    <t>Vuosivuokra</t>
  </si>
  <si>
    <t>Päättymispäivä</t>
  </si>
  <si>
    <t>FAS</t>
  </si>
  <si>
    <t>2 to 5</t>
  </si>
  <si>
    <t>6 -&gt;</t>
  </si>
  <si>
    <t>Esimerkki</t>
  </si>
  <si>
    <t>Oletettu inflaatio</t>
  </si>
  <si>
    <t>SOPIMUKSET</t>
  </si>
  <si>
    <t>Vuosi 1</t>
  </si>
  <si>
    <t>Vuosi 2-5</t>
  </si>
  <si>
    <t>Vuosi 6</t>
  </si>
  <si>
    <t>Yhteensä</t>
  </si>
  <si>
    <t>Check</t>
  </si>
  <si>
    <t>Vuosi 6 -&gt;</t>
  </si>
  <si>
    <t>Maturiteetti, FAS</t>
  </si>
  <si>
    <t>Maturiteetti, IFRS16</t>
  </si>
  <si>
    <t>Maksun suoritus</t>
  </si>
  <si>
    <t>Maksetaan 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</si>
</sst>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1"/>
      <name val="Trebuchet MS"/>
      <family val="2"/>
    </font>
    <font>
      <b/>
      <sz val="11"/>
      <color theme="2" tint="-0.249977111117893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3" borderId="0" xfId="0" applyFont="1" applyFill="1"/>
    <xf numFmtId="0" fontId="2" fillId="3" borderId="1" xfId="0" applyFont="1" applyFill="1" applyBorder="1"/>
    <xf numFmtId="0" fontId="2" fillId="0" borderId="0" xfId="0" applyFont="1"/>
    <xf numFmtId="14" fontId="2" fillId="0" borderId="0" xfId="0" applyNumberFormat="1" applyFont="1"/>
    <xf numFmtId="0" fontId="2" fillId="0" borderId="1" xfId="0" applyFont="1" applyBorder="1"/>
    <xf numFmtId="1" fontId="2" fillId="0" borderId="0" xfId="0" applyNumberFormat="1" applyFont="1"/>
    <xf numFmtId="10" fontId="2" fillId="0" borderId="0" xfId="1" applyNumberFormat="1" applyFont="1"/>
    <xf numFmtId="2" fontId="2" fillId="0" borderId="0" xfId="0" applyNumberFormat="1" applyFont="1"/>
    <xf numFmtId="0" fontId="2" fillId="3" borderId="2" xfId="0" applyFont="1" applyFill="1" applyBorder="1"/>
    <xf numFmtId="0" fontId="3" fillId="0" borderId="0" xfId="0" applyFont="1"/>
    <xf numFmtId="0" fontId="2" fillId="0" borderId="3" xfId="0" applyFont="1" applyBorder="1"/>
    <xf numFmtId="0" fontId="0" fillId="3" borderId="0" xfId="0" applyFill="1"/>
    <xf numFmtId="0" fontId="4" fillId="3" borderId="0" xfId="0" applyFont="1" applyFill="1"/>
    <xf numFmtId="0" fontId="4" fillId="3" borderId="1" xfId="0" applyFont="1" applyFill="1" applyBorder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4" xfId="0" applyFont="1" applyBorder="1"/>
    <xf numFmtId="0" fontId="3" fillId="3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4" borderId="4" xfId="0" applyFont="1" applyFill="1" applyBorder="1"/>
    <xf numFmtId="0" fontId="3" fillId="0" borderId="2" xfId="0" applyFont="1" applyBorder="1"/>
    <xf numFmtId="0" fontId="3" fillId="4" borderId="0" xfId="0" applyFont="1" applyFill="1"/>
    <xf numFmtId="0" fontId="2" fillId="4" borderId="0" xfId="0" applyFont="1" applyFill="1"/>
    <xf numFmtId="0" fontId="5" fillId="0" borderId="0" xfId="0" applyFont="1"/>
    <xf numFmtId="0" fontId="3" fillId="5" borderId="0" xfId="0" applyFont="1" applyFill="1"/>
    <xf numFmtId="0" fontId="3" fillId="2" borderId="0" xfId="0" applyFont="1" applyFill="1"/>
    <xf numFmtId="0" fontId="2" fillId="2" borderId="0" xfId="0" applyFont="1" applyFill="1"/>
    <xf numFmtId="4" fontId="2" fillId="0" borderId="0" xfId="0" applyNumberFormat="1" applyFont="1"/>
    <xf numFmtId="4" fontId="3" fillId="0" borderId="2" xfId="0" applyNumberFormat="1" applyFont="1" applyBorder="1"/>
    <xf numFmtId="4" fontId="3" fillId="0" borderId="0" xfId="0" applyNumberFormat="1" applyFont="1"/>
    <xf numFmtId="4" fontId="5" fillId="0" borderId="0" xfId="0" applyNumberFormat="1" applyFont="1"/>
    <xf numFmtId="4" fontId="2" fillId="0" borderId="1" xfId="0" applyNumberFormat="1" applyFont="1" applyBorder="1"/>
    <xf numFmtId="4" fontId="0" fillId="0" borderId="0" xfId="0" applyNumberFormat="1"/>
    <xf numFmtId="10" fontId="3" fillId="5" borderId="4" xfId="1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Normaali" xfId="0" builtinId="0"/>
    <cellStyle name="Prosentti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3C0D-E36D-4553-9CA2-1F67A0AE1F89}">
  <dimension ref="A1:U27"/>
  <sheetViews>
    <sheetView tabSelected="1" zoomScale="70" zoomScaleNormal="70" workbookViewId="0">
      <selection activeCell="F3" sqref="F3"/>
    </sheetView>
  </sheetViews>
  <sheetFormatPr defaultRowHeight="16.5" x14ac:dyDescent="0.3"/>
  <cols>
    <col min="1" max="1" width="26.5703125" style="3" customWidth="1"/>
    <col min="2" max="2" width="29.85546875" style="3" customWidth="1"/>
    <col min="3" max="3" width="14.85546875" style="3" bestFit="1" customWidth="1"/>
    <col min="4" max="4" width="16.7109375" style="3" bestFit="1" customWidth="1"/>
    <col min="5" max="5" width="36.140625" style="3" customWidth="1"/>
    <col min="6" max="6" width="19.42578125" style="3" customWidth="1"/>
    <col min="7" max="7" width="21" style="3" bestFit="1" customWidth="1"/>
    <col min="8" max="8" width="17.7109375" style="3" bestFit="1" customWidth="1"/>
    <col min="9" max="9" width="10.140625" style="3" customWidth="1"/>
    <col min="10" max="10" width="18.42578125" style="3" customWidth="1"/>
    <col min="11" max="11" width="17.28515625" style="3" customWidth="1"/>
    <col min="12" max="12" width="16.5703125" style="3" customWidth="1"/>
    <col min="13" max="13" width="15" style="3" customWidth="1"/>
    <col min="14" max="14" width="15.85546875" style="3" customWidth="1"/>
    <col min="15" max="15" width="16.7109375" style="3" customWidth="1"/>
    <col min="16" max="16" width="25.28515625" style="3" customWidth="1"/>
    <col min="17" max="17" width="19" style="3" customWidth="1"/>
    <col min="18" max="18" width="18.85546875" style="3" customWidth="1"/>
    <col min="19" max="19" width="16" style="3" customWidth="1"/>
    <col min="20" max="20" width="16.28515625" style="3" customWidth="1"/>
    <col min="21" max="21" width="20.85546875" style="3" customWidth="1"/>
    <col min="22" max="16384" width="9.140625" style="3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2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</row>
    <row r="2" spans="1:21" s="10" customFormat="1" ht="48.7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53</v>
      </c>
      <c r="F2" s="13" t="s">
        <v>54</v>
      </c>
      <c r="G2" s="13" t="s">
        <v>4</v>
      </c>
      <c r="H2" s="13" t="s">
        <v>5</v>
      </c>
      <c r="I2" s="14" t="s">
        <v>6</v>
      </c>
      <c r="J2" s="15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16" t="s">
        <v>16</v>
      </c>
      <c r="T2" s="16" t="s">
        <v>17</v>
      </c>
      <c r="U2" s="17" t="s">
        <v>18</v>
      </c>
    </row>
    <row r="3" spans="1:21" x14ac:dyDescent="0.3">
      <c r="A3" s="3" t="s">
        <v>19</v>
      </c>
      <c r="B3" s="3" t="s">
        <v>19</v>
      </c>
      <c r="C3" s="3">
        <v>0</v>
      </c>
      <c r="D3" s="3" t="s">
        <v>3</v>
      </c>
      <c r="E3" s="3" t="s">
        <v>53</v>
      </c>
      <c r="F3" s="3" t="b">
        <v>1</v>
      </c>
      <c r="G3" s="4">
        <v>43831</v>
      </c>
      <c r="H3" s="4">
        <v>44196</v>
      </c>
      <c r="I3" s="5" t="b">
        <v>1</v>
      </c>
      <c r="J3" s="6"/>
      <c r="K3" s="6"/>
      <c r="L3" s="7"/>
      <c r="M3" s="7"/>
      <c r="N3" s="30"/>
      <c r="O3" s="30"/>
      <c r="P3" s="30">
        <f>-PV(L3, J3-1, N3) + N3</f>
        <v>0</v>
      </c>
      <c r="Q3" s="30">
        <f>-PV(M3, K3-1, O3) + O3</f>
        <v>0</v>
      </c>
      <c r="R3" s="30">
        <f>Q3-P3</f>
        <v>0</v>
      </c>
      <c r="S3" s="30">
        <f>MAX(0, (P3-O3+R3) * M3)</f>
        <v>0</v>
      </c>
      <c r="T3" s="30">
        <f>IF(K3=0, 0, (I3+R3) / K3)</f>
        <v>0</v>
      </c>
      <c r="U3" s="34">
        <f>I3+R3-T3</f>
        <v>1</v>
      </c>
    </row>
    <row r="4" spans="1:21" x14ac:dyDescent="0.3">
      <c r="I4" s="5"/>
      <c r="U4" s="5"/>
    </row>
    <row r="5" spans="1:21" x14ac:dyDescent="0.3">
      <c r="I5" s="11"/>
      <c r="U5" s="11"/>
    </row>
    <row r="6" spans="1:21" s="9" customFormat="1" x14ac:dyDescent="0.3">
      <c r="A6" s="9" t="s">
        <v>20</v>
      </c>
    </row>
    <row r="7" spans="1:21" x14ac:dyDescent="0.3">
      <c r="A7" s="3" t="s">
        <v>3</v>
      </c>
      <c r="O7" s="30">
        <f>SUMIF($D$3:$D$4, $A7, O$3:O$4)</f>
        <v>0</v>
      </c>
      <c r="P7" s="30">
        <f>SUMIF($D$3:$D$4, $A7, P$3:P$4)</f>
        <v>0</v>
      </c>
      <c r="Q7" s="30">
        <f>SUMIF($D$3:$D$4, $A7, Q$3:Q$4)</f>
        <v>0</v>
      </c>
      <c r="R7" s="30">
        <f>SUMIF($D$3:$D$4, $A7, R$3:R$4)</f>
        <v>0</v>
      </c>
      <c r="S7" s="30">
        <f>SUMIF($D$3:$D$4, $A7, S$3:S$4)</f>
        <v>0</v>
      </c>
      <c r="T7" s="30">
        <f>SUMIF($D$3:$D$4, $A7, T$3:T$4)</f>
        <v>0</v>
      </c>
      <c r="U7" s="30">
        <f>SUMIF($D$3:$D$4, $A7, U$3:U$4)</f>
        <v>1</v>
      </c>
    </row>
    <row r="8" spans="1:21" s="10" customFormat="1" x14ac:dyDescent="0.3">
      <c r="A8" s="10" t="s">
        <v>21</v>
      </c>
      <c r="O8" s="32">
        <f>SUM(O3:O4)</f>
        <v>0</v>
      </c>
      <c r="P8" s="32">
        <f t="shared" ref="P8:U8" si="0">SUM(P3:P4)</f>
        <v>0</v>
      </c>
      <c r="Q8" s="32">
        <f t="shared" si="0"/>
        <v>0</v>
      </c>
      <c r="R8" s="32">
        <f t="shared" si="0"/>
        <v>0</v>
      </c>
      <c r="S8" s="32">
        <f t="shared" si="0"/>
        <v>0</v>
      </c>
      <c r="T8" s="32">
        <f t="shared" si="0"/>
        <v>0</v>
      </c>
      <c r="U8" s="32">
        <f t="shared" si="0"/>
        <v>1</v>
      </c>
    </row>
    <row r="9" spans="1:21" x14ac:dyDescent="0.3">
      <c r="A9" s="3" t="s">
        <v>22</v>
      </c>
      <c r="S9" s="8" t="str">
        <f>IF(ISBLANK(G8),"",G8-S8)</f>
        <v/>
      </c>
      <c r="T9" s="8" t="str">
        <f t="shared" ref="T9:U9" si="1">IF(ISBLANK(H8),"",H8-T8)</f>
        <v/>
      </c>
      <c r="U9" s="8" t="str">
        <f t="shared" si="1"/>
        <v/>
      </c>
    </row>
    <row r="11" spans="1:21" x14ac:dyDescent="0.3">
      <c r="A11" s="10" t="s">
        <v>23</v>
      </c>
    </row>
    <row r="12" spans="1:21" x14ac:dyDescent="0.3">
      <c r="A12" t="s">
        <v>24</v>
      </c>
      <c r="Q12" s="30">
        <f>Q$8</f>
        <v>0</v>
      </c>
      <c r="U12" s="30">
        <f>IF(ISBLANK(I25), Q12, I25)</f>
        <v>0</v>
      </c>
    </row>
    <row r="13" spans="1:21" x14ac:dyDescent="0.3">
      <c r="A13" t="s">
        <v>25</v>
      </c>
      <c r="Q13" s="30">
        <f>-Q$8</f>
        <v>0</v>
      </c>
      <c r="U13" s="30">
        <f>IF(ISBLANK(I26), Q13, I26)</f>
        <v>0</v>
      </c>
    </row>
    <row r="14" spans="1:21" x14ac:dyDescent="0.3">
      <c r="A14" t="s">
        <v>26</v>
      </c>
      <c r="U14" s="30">
        <f>S$8</f>
        <v>0</v>
      </c>
    </row>
    <row r="15" spans="1:21" x14ac:dyDescent="0.3">
      <c r="A15" t="s">
        <v>25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s="35">
        <f>-U14</f>
        <v>0</v>
      </c>
    </row>
    <row r="16" spans="1:21" x14ac:dyDescent="0.3">
      <c r="A16" t="s">
        <v>27</v>
      </c>
      <c r="U16" s="30">
        <f>T$8</f>
        <v>0</v>
      </c>
    </row>
    <row r="17" spans="1:21" x14ac:dyDescent="0.3">
      <c r="A17" t="s">
        <v>28</v>
      </c>
      <c r="U17" s="30">
        <f>-U16</f>
        <v>0</v>
      </c>
    </row>
    <row r="18" spans="1:21" x14ac:dyDescent="0.3">
      <c r="A18" t="s">
        <v>29</v>
      </c>
      <c r="U18" s="30">
        <f>-O$8</f>
        <v>0</v>
      </c>
    </row>
    <row r="19" spans="1:21" x14ac:dyDescent="0.3">
      <c r="A19" t="s">
        <v>30</v>
      </c>
      <c r="U19" s="30">
        <f>-U18</f>
        <v>0</v>
      </c>
    </row>
    <row r="20" spans="1:21" x14ac:dyDescent="0.3">
      <c r="A20" t="s">
        <v>31</v>
      </c>
      <c r="U20" s="30">
        <f>I27</f>
        <v>0</v>
      </c>
    </row>
    <row r="21" spans="1:21" x14ac:dyDescent="0.3">
      <c r="A21" t="s">
        <v>24</v>
      </c>
      <c r="U21" s="30">
        <f>R$8</f>
        <v>0</v>
      </c>
    </row>
    <row r="22" spans="1:21" x14ac:dyDescent="0.3">
      <c r="A22" t="s">
        <v>25</v>
      </c>
      <c r="U22" s="30">
        <f>-U21</f>
        <v>0</v>
      </c>
    </row>
    <row r="23" spans="1:21" x14ac:dyDescent="0.3">
      <c r="A23"/>
    </row>
    <row r="24" spans="1:21" x14ac:dyDescent="0.3">
      <c r="A24" s="12" t="s">
        <v>32</v>
      </c>
    </row>
    <row r="25" spans="1:21" x14ac:dyDescent="0.3">
      <c r="A25" t="s">
        <v>33</v>
      </c>
      <c r="U25" s="30">
        <f>U12+U17+U21</f>
        <v>0</v>
      </c>
    </row>
    <row r="26" spans="1:21" x14ac:dyDescent="0.3">
      <c r="A26" t="s">
        <v>34</v>
      </c>
      <c r="U26" s="30">
        <f>U13+U15+U19+U22</f>
        <v>0</v>
      </c>
    </row>
    <row r="27" spans="1:21" x14ac:dyDescent="0.3">
      <c r="A27" t="s">
        <v>35</v>
      </c>
      <c r="U27" s="30">
        <f>U14+U16+U18+U20</f>
        <v>0</v>
      </c>
    </row>
  </sheetData>
  <mergeCells count="1">
    <mergeCell ref="J1:U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A603-2CC4-42E6-B315-082AA21445C7}">
  <dimension ref="A1:S19"/>
  <sheetViews>
    <sheetView zoomScale="85" zoomScaleNormal="85" workbookViewId="0">
      <selection activeCell="G2" sqref="G2"/>
    </sheetView>
  </sheetViews>
  <sheetFormatPr defaultRowHeight="16.5" x14ac:dyDescent="0.3"/>
  <cols>
    <col min="1" max="1" width="21.85546875" style="3" customWidth="1"/>
    <col min="2" max="2" width="32.7109375" style="3" customWidth="1"/>
    <col min="3" max="4" width="17" style="3" customWidth="1"/>
    <col min="5" max="5" width="18.140625" style="3" customWidth="1"/>
    <col min="6" max="6" width="22.5703125" style="3" customWidth="1"/>
    <col min="7" max="7" width="17.7109375" style="3" bestFit="1" customWidth="1"/>
    <col min="8" max="13" width="11.7109375" style="3" customWidth="1"/>
    <col min="14" max="14" width="9.140625" style="3"/>
    <col min="15" max="15" width="11.140625" style="3" customWidth="1"/>
    <col min="16" max="16" width="18.28515625" style="3" customWidth="1"/>
    <col min="17" max="17" width="14.7109375" style="3" customWidth="1"/>
    <col min="18" max="18" width="14.85546875" style="3" customWidth="1"/>
    <col min="19" max="19" width="15.85546875" style="3" customWidth="1"/>
    <col min="20" max="16384" width="9.140625" style="3"/>
  </cols>
  <sheetData>
    <row r="1" spans="1:19" x14ac:dyDescent="0.3">
      <c r="A1" s="40" t="s">
        <v>44</v>
      </c>
      <c r="B1" s="40"/>
      <c r="C1" s="40"/>
      <c r="D1" s="40"/>
      <c r="E1" s="40"/>
      <c r="F1" s="40"/>
      <c r="G1" s="27" t="s">
        <v>43</v>
      </c>
      <c r="H1" s="39" t="s">
        <v>39</v>
      </c>
      <c r="I1" s="39"/>
      <c r="J1" s="39"/>
      <c r="K1" s="39"/>
      <c r="L1" s="39"/>
      <c r="M1" s="39"/>
      <c r="O1" s="37" t="s">
        <v>6</v>
      </c>
      <c r="P1" s="37"/>
      <c r="Q1" s="37"/>
      <c r="R1" s="37"/>
      <c r="S1" s="37"/>
    </row>
    <row r="2" spans="1:19" s="18" customFormat="1" x14ac:dyDescent="0.3">
      <c r="A2" s="19" t="s">
        <v>0</v>
      </c>
      <c r="B2" s="19" t="s">
        <v>1</v>
      </c>
      <c r="C2" s="19" t="s">
        <v>36</v>
      </c>
      <c r="D2" s="19" t="s">
        <v>3</v>
      </c>
      <c r="E2" s="19" t="s">
        <v>38</v>
      </c>
      <c r="F2" s="19" t="s">
        <v>37</v>
      </c>
      <c r="G2" s="36"/>
      <c r="H2" s="22">
        <v>1</v>
      </c>
      <c r="I2" s="22">
        <v>2</v>
      </c>
      <c r="J2" s="22">
        <v>3</v>
      </c>
      <c r="K2" s="22">
        <v>4</v>
      </c>
      <c r="L2" s="22">
        <v>5</v>
      </c>
      <c r="M2" s="22">
        <v>6</v>
      </c>
      <c r="O2" s="20" t="s">
        <v>6</v>
      </c>
      <c r="P2" s="21" t="s">
        <v>34</v>
      </c>
      <c r="Q2" s="21">
        <v>1</v>
      </c>
      <c r="R2" s="21" t="s">
        <v>40</v>
      </c>
      <c r="S2" s="21" t="s">
        <v>41</v>
      </c>
    </row>
    <row r="3" spans="1:19" x14ac:dyDescent="0.3">
      <c r="A3" s="3" t="s">
        <v>42</v>
      </c>
      <c r="B3" s="3" t="s">
        <v>42</v>
      </c>
      <c r="C3" s="3">
        <v>123</v>
      </c>
      <c r="D3" s="3" t="s">
        <v>42</v>
      </c>
      <c r="E3" s="4"/>
      <c r="F3" s="30">
        <v>800</v>
      </c>
      <c r="H3" s="30">
        <f>F3*(1+$G$2)</f>
        <v>800</v>
      </c>
      <c r="I3" s="30">
        <f>H3*(1+$G$2)</f>
        <v>800</v>
      </c>
      <c r="J3" s="30">
        <f t="shared" ref="J3:M3" si="0">I3*(1+$G$2)</f>
        <v>800</v>
      </c>
      <c r="K3" s="30">
        <f t="shared" si="0"/>
        <v>800</v>
      </c>
      <c r="L3" s="30">
        <f t="shared" si="0"/>
        <v>800</v>
      </c>
      <c r="M3" s="30">
        <f t="shared" si="0"/>
        <v>800</v>
      </c>
      <c r="O3" s="3" t="b">
        <v>1</v>
      </c>
      <c r="P3" s="30"/>
      <c r="Q3" s="30">
        <f>O3*F3</f>
        <v>800</v>
      </c>
      <c r="R3" s="30">
        <f>Q3*4</f>
        <v>3200</v>
      </c>
      <c r="S3" s="30">
        <f>P3-Q3-R3</f>
        <v>-4000</v>
      </c>
    </row>
    <row r="5" spans="1:19" s="23" customFormat="1" x14ac:dyDescent="0.3">
      <c r="H5" s="31">
        <f>SUBTOTAL(9, H3:H4)</f>
        <v>800</v>
      </c>
      <c r="I5" s="31">
        <f t="shared" ref="I5:M5" si="1">SUBTOTAL(9, I3:I4)</f>
        <v>800</v>
      </c>
      <c r="J5" s="31">
        <f t="shared" si="1"/>
        <v>800</v>
      </c>
      <c r="K5" s="31">
        <f t="shared" si="1"/>
        <v>800</v>
      </c>
      <c r="L5" s="31">
        <f t="shared" si="1"/>
        <v>800</v>
      </c>
      <c r="M5" s="31">
        <f t="shared" si="1"/>
        <v>800</v>
      </c>
      <c r="P5" s="31">
        <f>SUBTOTAL(9, P3:P4)</f>
        <v>0</v>
      </c>
      <c r="Q5" s="31">
        <f t="shared" ref="Q5:S5" si="2">SUBTOTAL(9, Q3:Q4)</f>
        <v>800</v>
      </c>
      <c r="R5" s="31">
        <f t="shared" si="2"/>
        <v>3200</v>
      </c>
      <c r="S5" s="31">
        <f t="shared" si="2"/>
        <v>-4000</v>
      </c>
    </row>
    <row r="7" spans="1:19" x14ac:dyDescent="0.3">
      <c r="A7" s="24" t="s">
        <v>51</v>
      </c>
      <c r="B7" s="25"/>
    </row>
    <row r="8" spans="1:19" x14ac:dyDescent="0.3">
      <c r="A8" s="10" t="s">
        <v>45</v>
      </c>
      <c r="B8" s="32">
        <f>$H5</f>
        <v>800</v>
      </c>
    </row>
    <row r="9" spans="1:19" x14ac:dyDescent="0.3">
      <c r="A9" s="10" t="s">
        <v>46</v>
      </c>
      <c r="B9" s="32">
        <f>SUM($I5:$L5)</f>
        <v>3200</v>
      </c>
    </row>
    <row r="10" spans="1:19" x14ac:dyDescent="0.3">
      <c r="A10" s="10" t="s">
        <v>47</v>
      </c>
      <c r="B10" s="32">
        <f>$M5</f>
        <v>800</v>
      </c>
    </row>
    <row r="11" spans="1:19" x14ac:dyDescent="0.3">
      <c r="A11" s="10" t="s">
        <v>48</v>
      </c>
      <c r="B11" s="32">
        <f>SUM($B8:$B10)</f>
        <v>4800</v>
      </c>
    </row>
    <row r="12" spans="1:19" x14ac:dyDescent="0.3">
      <c r="A12" s="26" t="s">
        <v>49</v>
      </c>
      <c r="B12" s="33">
        <f>B11-SUM($H5:$M5)</f>
        <v>0</v>
      </c>
    </row>
    <row r="14" spans="1:19" x14ac:dyDescent="0.3">
      <c r="A14" s="28" t="s">
        <v>52</v>
      </c>
      <c r="B14" s="29"/>
    </row>
    <row r="15" spans="1:19" x14ac:dyDescent="0.3">
      <c r="A15" s="10" t="s">
        <v>45</v>
      </c>
      <c r="B15" s="32">
        <f>$Q5</f>
        <v>800</v>
      </c>
    </row>
    <row r="16" spans="1:19" x14ac:dyDescent="0.3">
      <c r="A16" s="10" t="s">
        <v>46</v>
      </c>
      <c r="B16" s="32">
        <f>R5</f>
        <v>3200</v>
      </c>
    </row>
    <row r="17" spans="1:2" x14ac:dyDescent="0.3">
      <c r="A17" s="10" t="s">
        <v>50</v>
      </c>
      <c r="B17" s="32">
        <f>$S5</f>
        <v>-4000</v>
      </c>
    </row>
    <row r="18" spans="1:2" x14ac:dyDescent="0.3">
      <c r="A18" s="10" t="s">
        <v>48</v>
      </c>
      <c r="B18" s="32">
        <f>SUM($B15:$B17)</f>
        <v>0</v>
      </c>
    </row>
    <row r="19" spans="1:2" x14ac:dyDescent="0.3">
      <c r="A19" s="26" t="s">
        <v>49</v>
      </c>
      <c r="B19" s="33">
        <f>B18-$P5</f>
        <v>0</v>
      </c>
    </row>
  </sheetData>
  <mergeCells count="3">
    <mergeCell ref="H1:M1"/>
    <mergeCell ref="O1:S1"/>
    <mergeCell ref="A1:F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IFRS16 vuokrat</vt:lpstr>
      <vt:lpstr>Maturiteetti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Santeri Nogelainen</dc:creator>
  <cp:lastModifiedBy>Anna Leskinen</cp:lastModifiedBy>
  <dcterms:created xsi:type="dcterms:W3CDTF">2020-12-07T07:51:38Z</dcterms:created>
  <dcterms:modified xsi:type="dcterms:W3CDTF">2024-01-26T08:50:21Z</dcterms:modified>
</cp:coreProperties>
</file>